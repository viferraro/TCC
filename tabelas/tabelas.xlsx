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CC\tabelas\"/>
    </mc:Choice>
  </mc:AlternateContent>
  <xr:revisionPtr revIDLastSave="0" documentId="13_ncr:1_{DD3F23D0-937B-4288-B117-6F11277661CF}" xr6:coauthVersionLast="47" xr6:coauthVersionMax="47" xr10:uidLastSave="{00000000-0000-0000-0000-000000000000}"/>
  <bookViews>
    <workbookView xWindow="-120" yWindow="-120" windowWidth="29040" windowHeight="15720" firstSheet="1" activeTab="6" xr2:uid="{13F06048-EB8B-4FDA-AF69-07DBD3E39C1E}"/>
  </bookViews>
  <sheets>
    <sheet name="LeNet" sheetId="1" r:id="rId1"/>
    <sheet name="AlexNet" sheetId="2" r:id="rId2"/>
    <sheet name="ResNet" sheetId="3" r:id="rId3"/>
    <sheet name="GoogLeNet" sheetId="4" r:id="rId4"/>
    <sheet name="MobileNet" sheetId="5" r:id="rId5"/>
    <sheet name="Inferencia" sheetId="6" r:id="rId6"/>
    <sheet name="EficienciaCusto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8" l="1"/>
  <c r="E12" i="8"/>
  <c r="F12" i="8"/>
  <c r="G12" i="8"/>
  <c r="H12" i="8"/>
  <c r="C12" i="8"/>
  <c r="D11" i="8"/>
  <c r="E11" i="8"/>
  <c r="F11" i="8"/>
  <c r="G11" i="8"/>
  <c r="H11" i="8"/>
  <c r="C11" i="8"/>
  <c r="F16" i="5"/>
  <c r="E16" i="5"/>
  <c r="D16" i="5"/>
  <c r="C16" i="5"/>
  <c r="F15" i="5"/>
  <c r="E15" i="5"/>
  <c r="D15" i="5"/>
  <c r="C15" i="5"/>
  <c r="F16" i="4"/>
  <c r="E16" i="4"/>
  <c r="D16" i="4"/>
  <c r="C16" i="4"/>
  <c r="F15" i="4"/>
  <c r="E15" i="4"/>
  <c r="D15" i="4"/>
  <c r="C15" i="4"/>
  <c r="F16" i="3"/>
  <c r="E16" i="3"/>
  <c r="D16" i="3"/>
  <c r="C16" i="3"/>
  <c r="F15" i="3"/>
  <c r="E15" i="3"/>
  <c r="D15" i="3"/>
  <c r="C15" i="3"/>
  <c r="F16" i="2"/>
  <c r="E16" i="2"/>
  <c r="D16" i="2"/>
  <c r="C16" i="2"/>
  <c r="F15" i="2"/>
  <c r="E15" i="2"/>
  <c r="D15" i="2"/>
  <c r="C15" i="2"/>
  <c r="D17" i="1"/>
  <c r="E17" i="1"/>
  <c r="F17" i="1"/>
  <c r="C17" i="1"/>
  <c r="D16" i="1"/>
  <c r="E16" i="1"/>
  <c r="F16" i="1"/>
  <c r="C16" i="1"/>
</calcChain>
</file>

<file path=xl/sharedStrings.xml><?xml version="1.0" encoding="utf-8"?>
<sst xmlns="http://schemas.openxmlformats.org/spreadsheetml/2006/main" count="115" uniqueCount="38">
  <si>
    <t>Modelo</t>
  </si>
  <si>
    <t>Perda Treino</t>
  </si>
  <si>
    <t>Acurácia Treino</t>
  </si>
  <si>
    <t>Perda Validação</t>
  </si>
  <si>
    <t>Acurácia Validação</t>
  </si>
  <si>
    <t>Modelo_1</t>
  </si>
  <si>
    <t>Modelo_2</t>
  </si>
  <si>
    <t>Modelo_3</t>
  </si>
  <si>
    <t>Modelo_4</t>
  </si>
  <si>
    <t>Modelo_5</t>
  </si>
  <si>
    <t>Modelo_6</t>
  </si>
  <si>
    <t>Modelo_7</t>
  </si>
  <si>
    <t>Modelo_8</t>
  </si>
  <si>
    <t>Modelo_9</t>
  </si>
  <si>
    <t>Modelo_10</t>
  </si>
  <si>
    <t>LeNet-5</t>
  </si>
  <si>
    <t>Médias</t>
  </si>
  <si>
    <t>Desvio Padão</t>
  </si>
  <si>
    <t>AlexNet</t>
  </si>
  <si>
    <t>ResNet34</t>
  </si>
  <si>
    <t>GoogLeNet</t>
  </si>
  <si>
    <t>MobileNet</t>
  </si>
  <si>
    <t>Melhor Modelo</t>
  </si>
  <si>
    <t>Acurácia</t>
  </si>
  <si>
    <t>Precisão</t>
  </si>
  <si>
    <t>Revocação</t>
  </si>
  <si>
    <t>Medida-F1</t>
  </si>
  <si>
    <t>Lenet-5</t>
  </si>
  <si>
    <t>Modelos</t>
  </si>
  <si>
    <t>Emissão de carbono</t>
  </si>
  <si>
    <t>Consumo de Energia</t>
  </si>
  <si>
    <t>Número de Parâmetros</t>
  </si>
  <si>
    <t>FLOPs</t>
  </si>
  <si>
    <t>Tempo de treino</t>
  </si>
  <si>
    <t>Desempenho X Eficiência</t>
  </si>
  <si>
    <t>Tempo de Inferência</t>
  </si>
  <si>
    <t>Média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</si>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</sst>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36">
    <dxf>
      <numFmt numFmtId="164" formatCode="0.00000"/>
      <alignment horizontal="center" vertical="center" textRotation="0" wrapText="1" indent="0" justifyLastLine="0" shrinkToFit="0" readingOrder="0"/>
    </dxf>
    <dxf>
      <numFmt numFmtId="164" formatCode="0.000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164" formatCode="0.00000"/>
      <alignment horizontal="center" vertical="center" textRotation="0" wrapText="1" indent="0" justifyLastLine="0" shrinkToFit="0" readingOrder="0"/>
    </dxf>
    <dxf>
      <numFmt numFmtId="164" formatCode="0.000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7CCED-0E68-45DF-9CBC-9E670B1486C0}" name="Tabela1" displayName="Tabela1" ref="B5:F17" totalsRowShown="0">
  <autoFilter ref="B5:F17" xr:uid="{42A7CCED-0E68-45DF-9CBC-9E670B1486C0}"/>
  <tableColumns count="5">
    <tableColumn id="1" xr3:uid="{CB903ED8-FC88-43B5-A04E-C414D1B9CB62}" name="Modelo"/>
    <tableColumn id="2" xr3:uid="{4B634E77-212D-4997-BA43-943EDA37543D}" name="Perda Treino" dataDxfId="35"/>
    <tableColumn id="3" xr3:uid="{92859825-22E3-4FA9-9C1D-F02E29E0D44B}" name="Acurácia Treino" dataDxfId="34"/>
    <tableColumn id="4" xr3:uid="{57583B4E-F0CD-4677-B970-CF6215DAA331}" name="Perda Validação" dataDxfId="33"/>
    <tableColumn id="5" xr3:uid="{0E1E3B98-2262-4CCB-8164-E077F47D133B}" name="Acurácia Validação" dataDxfId="3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2EF86-9B43-43F6-A288-74C94587B6CD}" name="Tabela15" displayName="Tabela15" ref="B4:F16" totalsRowShown="0">
  <autoFilter ref="B4:F16" xr:uid="{0672EF86-9B43-43F6-A288-74C94587B6CD}"/>
  <tableColumns count="5">
    <tableColumn id="1" xr3:uid="{A812A20D-EB45-4072-B3FF-DF34AC513729}" name="Modelo"/>
    <tableColumn id="2" xr3:uid="{AC25AC79-F200-4561-BF29-BEE5F767B72E}" name="Perda Treino" dataDxfId="31"/>
    <tableColumn id="3" xr3:uid="{057CD4D6-D043-47D0-96D2-CFDC9F6F6E98}" name="Acurácia Treino" dataDxfId="30"/>
    <tableColumn id="4" xr3:uid="{1C3DFBE2-C68D-4D3C-9F71-FA116D772A6D}" name="Perda Validação" dataDxfId="29"/>
    <tableColumn id="5" xr3:uid="{687ABCC5-40D9-4495-85D0-2DC1E226E6EC}" name="Acurácia Validação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AA89FA-8130-4D2F-9900-384E26D5A570}" name="Tabela156" displayName="Tabela156" ref="B4:F16" totalsRowShown="0">
  <autoFilter ref="B4:F16" xr:uid="{D6AA89FA-8130-4D2F-9900-384E26D5A570}"/>
  <tableColumns count="5">
    <tableColumn id="1" xr3:uid="{D4F8D0C9-A7F1-4ADC-A78C-FFE8CF1FBBC7}" name="Modelo"/>
    <tableColumn id="2" xr3:uid="{17C97566-AE62-4FD3-B098-073FE84D6763}" name="Perda Treino" dataDxfId="27"/>
    <tableColumn id="3" xr3:uid="{FD7DE413-454E-4236-B597-8A7B825BFB4A}" name="Acurácia Treino" dataDxfId="26"/>
    <tableColumn id="4" xr3:uid="{8852E415-56FB-40CA-9C65-6DC604729AA3}" name="Perda Validação" dataDxfId="25"/>
    <tableColumn id="5" xr3:uid="{ABF7EDC7-2C73-4524-8802-9735A734BA53}" name="Acurácia Validação" dataDxfId="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2431A3-C699-47A2-88EB-D3DECA80E7A4}" name="Tabela1567" displayName="Tabela1567" ref="B4:F16" totalsRowShown="0">
  <autoFilter ref="B4:F16" xr:uid="{002431A3-C699-47A2-88EB-D3DECA80E7A4}"/>
  <tableColumns count="5">
    <tableColumn id="1" xr3:uid="{2B47B00D-562F-44D2-AE18-F89A8ED96A0D}" name="Modelo"/>
    <tableColumn id="2" xr3:uid="{0F9F9B52-F2C3-49F0-8C14-0D67638B7AC5}" name="Perda Treino" dataDxfId="23"/>
    <tableColumn id="3" xr3:uid="{37B0C17F-4682-48D4-AF89-06E13239802A}" name="Acurácia Treino" dataDxfId="22"/>
    <tableColumn id="4" xr3:uid="{D58038CB-FF6B-4886-960C-39868883D8F2}" name="Perda Validação" dataDxfId="21"/>
    <tableColumn id="5" xr3:uid="{1E7BFA72-CB3D-46ED-A30A-A0FD0940062E}" name="Acurácia Validação" dataDxfId="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1703F6-ACEB-43F3-A4F3-B540607AD1FB}" name="Tabela15678" displayName="Tabela15678" ref="B4:F16" totalsRowShown="0">
  <autoFilter ref="B4:F16" xr:uid="{B31703F6-ACEB-43F3-A4F3-B540607AD1FB}"/>
  <tableColumns count="5">
    <tableColumn id="1" xr3:uid="{0EA81A56-C530-41C7-985B-C19780CAA2C3}" name="Modelo"/>
    <tableColumn id="2" xr3:uid="{EB87C832-2BB9-4819-A7AF-CE9047FFAE0A}" name="Perda Treino" dataDxfId="19"/>
    <tableColumn id="3" xr3:uid="{48A4ACAC-615B-4687-95AD-E08AE8B13597}" name="Acurácia Treino" dataDxfId="18"/>
    <tableColumn id="4" xr3:uid="{040E087B-3367-42B3-8841-F475B7E4E7D2}" name="Perda Validação" dataDxfId="17"/>
    <tableColumn id="5" xr3:uid="{539F3614-D2C6-4283-BA24-B18B50EB207E}" name="Acurácia Validação" dataDxfId="1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6BD6A3-AC2C-4B1E-9335-88825FD062A9}" name="Tabela8" displayName="Tabela8" ref="B3:F8" totalsRowShown="0" headerRowDxfId="15" dataDxfId="14">
  <autoFilter ref="B3:F8" xr:uid="{BC6BD6A3-AC2C-4B1E-9335-88825FD062A9}"/>
  <tableColumns count="5">
    <tableColumn id="1" xr3:uid="{70E6298B-0460-4437-862E-E64C6576E345}" name="Melhor Modelo" dataDxfId="13"/>
    <tableColumn id="2" xr3:uid="{8116BC02-003C-4DD0-B9F9-245028FEAB54}" name="Acurácia" dataDxfId="12"/>
    <tableColumn id="3" xr3:uid="{76F274EF-0A7A-4F8D-9066-F105B3DE71AD}" name="Precisão" dataDxfId="11"/>
    <tableColumn id="4" xr3:uid="{DBA3BE60-6C8A-4C1A-8BF9-A77FDFE82F3D}" name="Revocação" dataDxfId="10"/>
    <tableColumn id="5" xr3:uid="{14DC8645-FD70-41F2-A667-A0F896372849}" name="Medida-F1" dataDxfId="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53A832-1C69-4A1E-8DF2-31DE7F233415}" name="Tabela94" displayName="Tabela94" ref="B5:H12" totalsRowShown="0" headerRowDxfId="8" dataDxfId="7">
  <autoFilter ref="B5:H12" xr:uid="{E253A832-1C69-4A1E-8DF2-31DE7F233415}"/>
  <tableColumns count="7">
    <tableColumn id="1" xr3:uid="{B4A77944-374E-4B7A-93C2-C687F79C9092}" name="Modelos" dataDxfId="6"/>
    <tableColumn id="2" xr3:uid="{85191E0C-97BD-45DF-9E4E-CA2193D04180}" name="Emissão de carbono" dataDxfId="5"/>
    <tableColumn id="3" xr3:uid="{9EA077B6-C438-4876-8B6D-198EF4D5BF19}" name="Consumo de Energia" dataDxfId="4"/>
    <tableColumn id="4" xr3:uid="{893E4838-4497-44B8-8F78-0D712B0B5248}" name="Número de Parâmetros" dataDxfId="3"/>
    <tableColumn id="5" xr3:uid="{71535624-8785-4CB5-8FF5-CF18CD385372}" name="FLOPs" dataDxfId="2"/>
    <tableColumn id="6" xr3:uid="{047AC4F3-AC89-403A-A6DA-7CE3EC6A4F86}" name="Tempo de treino" dataDxfId="1"/>
    <tableColumn id="7" xr3:uid="{BDE67346-2B24-4B79-B8FC-6620E2C450DB}" name="Tempo de Inferênci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2D62-45ED-4EB0-8499-019F810A2A54}">
  <dimension ref="B3:F18"/>
  <sheetViews>
    <sheetView workbookViewId="0">
      <selection activeCell="B5" sqref="B5:F16"/>
    </sheetView>
  </sheetViews>
  <sheetFormatPr defaultRowHeight="15" x14ac:dyDescent="0.25"/>
  <cols>
    <col min="1" max="1" width="9.7109375" customWidth="1"/>
    <col min="2" max="2" width="14.28515625" customWidth="1"/>
    <col min="3" max="3" width="17" customWidth="1"/>
    <col min="4" max="4" width="17.7109375" customWidth="1"/>
    <col min="5" max="5" width="20.42578125" customWidth="1"/>
  </cols>
  <sheetData>
    <row r="3" spans="2:6" x14ac:dyDescent="0.25">
      <c r="B3" t="s">
        <v>15</v>
      </c>
    </row>
    <row r="5" spans="2:6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</row>
    <row r="6" spans="2:6" x14ac:dyDescent="0.25">
      <c r="B6" t="s">
        <v>5</v>
      </c>
      <c r="C6" s="4">
        <v>1.4690179999999999</v>
      </c>
      <c r="D6" s="4">
        <v>0.99308300000000005</v>
      </c>
      <c r="E6" s="4">
        <v>1.477195</v>
      </c>
      <c r="F6" s="4">
        <v>0.98516700000000001</v>
      </c>
    </row>
    <row r="7" spans="2:6" x14ac:dyDescent="0.25">
      <c r="B7" t="s">
        <v>6</v>
      </c>
      <c r="C7" s="4">
        <v>1.4687570000000001</v>
      </c>
      <c r="D7" s="4">
        <v>0.993448</v>
      </c>
      <c r="E7" s="4">
        <v>1.4763230000000001</v>
      </c>
      <c r="F7" s="4">
        <v>0.98591700000000004</v>
      </c>
    </row>
    <row r="8" spans="2:6" x14ac:dyDescent="0.25">
      <c r="B8" t="s">
        <v>7</v>
      </c>
      <c r="C8" s="4">
        <v>1.4675689999999999</v>
      </c>
      <c r="D8" s="4">
        <v>0.99445099999999997</v>
      </c>
      <c r="E8" s="4">
        <v>1.4752540000000001</v>
      </c>
      <c r="F8" s="4">
        <v>0.98694400000000004</v>
      </c>
    </row>
    <row r="9" spans="2:6" x14ac:dyDescent="0.25">
      <c r="B9" t="s">
        <v>8</v>
      </c>
      <c r="C9" s="4">
        <v>1.466853</v>
      </c>
      <c r="D9" s="4">
        <v>0.99505699999999997</v>
      </c>
      <c r="E9" s="4">
        <v>1.474785</v>
      </c>
      <c r="F9" s="4">
        <v>0.987313</v>
      </c>
    </row>
    <row r="10" spans="2:6" x14ac:dyDescent="0.25">
      <c r="B10" t="s">
        <v>9</v>
      </c>
      <c r="C10" s="4">
        <v>1.4669030000000001</v>
      </c>
      <c r="D10" s="4">
        <v>0.99502100000000004</v>
      </c>
      <c r="E10" s="4">
        <v>1.474891</v>
      </c>
      <c r="F10" s="4">
        <v>0.98728300000000002</v>
      </c>
    </row>
    <row r="11" spans="2:6" x14ac:dyDescent="0.25">
      <c r="B11" t="s">
        <v>10</v>
      </c>
      <c r="C11" s="4">
        <v>1.467106</v>
      </c>
      <c r="D11" s="4">
        <v>0.994861</v>
      </c>
      <c r="E11" s="4">
        <v>1.474844</v>
      </c>
      <c r="F11" s="4">
        <v>0.98738899999999996</v>
      </c>
    </row>
    <row r="12" spans="2:6" x14ac:dyDescent="0.25">
      <c r="B12" t="s">
        <v>11</v>
      </c>
      <c r="C12" s="4">
        <v>1.4670920000000001</v>
      </c>
      <c r="D12" s="4">
        <v>0.99490800000000001</v>
      </c>
      <c r="E12" s="4">
        <v>1.4749270000000001</v>
      </c>
      <c r="F12" s="4">
        <v>0.98723799999999995</v>
      </c>
    </row>
    <row r="13" spans="2:6" x14ac:dyDescent="0.25">
      <c r="B13" t="s">
        <v>12</v>
      </c>
      <c r="C13" s="4">
        <v>1.4671639999999999</v>
      </c>
      <c r="D13" s="4">
        <v>0.99484899999999998</v>
      </c>
      <c r="E13" s="4">
        <v>1.47495</v>
      </c>
      <c r="F13" s="4">
        <v>0.98721899999999996</v>
      </c>
    </row>
    <row r="14" spans="2:6" x14ac:dyDescent="0.25">
      <c r="B14" t="s">
        <v>13</v>
      </c>
      <c r="C14" s="4">
        <v>1.467074</v>
      </c>
      <c r="D14" s="4">
        <v>0.99493799999999999</v>
      </c>
      <c r="E14" s="4">
        <v>1.4748969999999999</v>
      </c>
      <c r="F14" s="4">
        <v>0.98734299999999997</v>
      </c>
    </row>
    <row r="15" spans="2:6" x14ac:dyDescent="0.25">
      <c r="B15" t="s">
        <v>14</v>
      </c>
      <c r="C15" s="4">
        <v>1.4671160000000001</v>
      </c>
      <c r="D15" s="4">
        <v>0.99490000000000001</v>
      </c>
      <c r="E15" s="4">
        <v>1.4750380000000001</v>
      </c>
      <c r="F15" s="4">
        <v>0.98716700000000002</v>
      </c>
    </row>
    <row r="16" spans="2:6" x14ac:dyDescent="0.25">
      <c r="B16" t="s">
        <v>16</v>
      </c>
      <c r="C16" s="4">
        <f>AVERAGE(C6:C15)</f>
        <v>1.4674652000000001</v>
      </c>
      <c r="D16" s="4">
        <f>AVERAGE(D6:D15)</f>
        <v>0.99455159999999998</v>
      </c>
      <c r="E16" s="4">
        <f>AVERAGE(E6:E15)</f>
        <v>1.4753104000000001</v>
      </c>
      <c r="F16" s="4">
        <f>AVERAGE(F6:F15)</f>
        <v>0.98689799999999983</v>
      </c>
    </row>
    <row r="17" spans="2:6" x14ac:dyDescent="0.25">
      <c r="B17" t="s">
        <v>17</v>
      </c>
      <c r="C17" s="4">
        <f>STDEV(C6:C15)</f>
        <v>7.7571254698860352E-4</v>
      </c>
      <c r="D17" s="4">
        <f t="shared" ref="D17:F17" si="0">STDEV(D6:D15)</f>
        <v>7.0257371301679639E-4</v>
      </c>
      <c r="E17" s="4">
        <f t="shared" si="0"/>
        <v>8.0081294805828382E-4</v>
      </c>
      <c r="F17" s="4">
        <f t="shared" si="0"/>
        <v>7.4620491674723735E-4</v>
      </c>
    </row>
    <row r="18" spans="2:6" x14ac:dyDescent="0.25">
      <c r="C18" s="4"/>
      <c r="D18" s="4"/>
      <c r="E18" s="4"/>
      <c r="F18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4432-78D8-4E61-B66C-AD6C256DA009}">
  <dimension ref="B2:F17"/>
  <sheetViews>
    <sheetView workbookViewId="0">
      <selection activeCell="B2" sqref="B2:F16"/>
    </sheetView>
  </sheetViews>
  <sheetFormatPr defaultRowHeight="15" x14ac:dyDescent="0.25"/>
  <cols>
    <col min="2" max="2" width="14.28515625" customWidth="1"/>
    <col min="3" max="3" width="17" customWidth="1"/>
    <col min="4" max="4" width="17.7109375" customWidth="1"/>
    <col min="5" max="5" width="20.42578125" customWidth="1"/>
  </cols>
  <sheetData>
    <row r="2" spans="2:6" x14ac:dyDescent="0.25">
      <c r="B2" t="s">
        <v>18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s="5" t="s">
        <v>5</v>
      </c>
      <c r="C5" s="1">
        <v>7.2800000000000002E-4</v>
      </c>
      <c r="D5" s="1">
        <v>0.99987499999999996</v>
      </c>
      <c r="E5" s="1">
        <v>2.3938999999999998E-2</v>
      </c>
      <c r="F5" s="1">
        <v>0.99433300000000002</v>
      </c>
    </row>
    <row r="6" spans="2:6" x14ac:dyDescent="0.25">
      <c r="B6" s="5" t="s">
        <v>6</v>
      </c>
      <c r="C6" s="1">
        <v>1.011E-3</v>
      </c>
      <c r="D6" s="1">
        <v>0.99980199999999997</v>
      </c>
      <c r="E6" s="1">
        <v>2.5767999999999999E-2</v>
      </c>
      <c r="F6" s="1">
        <v>0.99404199999999998</v>
      </c>
    </row>
    <row r="7" spans="2:6" x14ac:dyDescent="0.25">
      <c r="B7" s="5" t="s">
        <v>7</v>
      </c>
      <c r="C7" s="1">
        <v>9.5100000000000002E-4</v>
      </c>
      <c r="D7" s="1">
        <v>0.99983299999999997</v>
      </c>
      <c r="E7" s="1">
        <v>2.5522E-2</v>
      </c>
      <c r="F7" s="1">
        <v>0.99391700000000005</v>
      </c>
    </row>
    <row r="8" spans="2:6" x14ac:dyDescent="0.25">
      <c r="B8" s="5" t="s">
        <v>8</v>
      </c>
      <c r="C8" s="1">
        <v>1.005E-3</v>
      </c>
      <c r="D8" s="1">
        <v>0.99983299999999997</v>
      </c>
      <c r="E8" s="1">
        <v>2.5819999999999999E-2</v>
      </c>
      <c r="F8" s="1">
        <v>0.99395800000000001</v>
      </c>
    </row>
    <row r="9" spans="2:6" x14ac:dyDescent="0.25">
      <c r="B9" s="5" t="s">
        <v>9</v>
      </c>
      <c r="C9" s="1">
        <v>1.1329999999999999E-3</v>
      </c>
      <c r="D9" s="1">
        <v>0.99980800000000003</v>
      </c>
      <c r="E9" s="1">
        <v>2.6235000000000001E-2</v>
      </c>
      <c r="F9" s="1">
        <v>0.99388299999999996</v>
      </c>
    </row>
    <row r="10" spans="2:6" x14ac:dyDescent="0.25">
      <c r="B10" s="5" t="s">
        <v>10</v>
      </c>
      <c r="C10" s="1">
        <v>2.5600000000000002E-3</v>
      </c>
      <c r="D10" s="1">
        <v>0.99937799999999999</v>
      </c>
      <c r="E10" s="1">
        <v>2.7720999999999999E-2</v>
      </c>
      <c r="F10" s="1">
        <v>0.99352799999999997</v>
      </c>
    </row>
    <row r="11" spans="2:6" x14ac:dyDescent="0.25">
      <c r="B11" s="5" t="s">
        <v>11</v>
      </c>
      <c r="C11" s="1">
        <v>2.4459999999999998E-3</v>
      </c>
      <c r="D11" s="1">
        <v>0.99940799999999996</v>
      </c>
      <c r="E11" s="1">
        <v>2.7757E-2</v>
      </c>
      <c r="F11" s="1">
        <v>0.99348800000000004</v>
      </c>
    </row>
    <row r="12" spans="2:6" x14ac:dyDescent="0.25">
      <c r="B12" s="5" t="s">
        <v>12</v>
      </c>
      <c r="C12" s="1">
        <v>2.2989999999999998E-3</v>
      </c>
      <c r="D12" s="1">
        <v>0.99945099999999998</v>
      </c>
      <c r="E12" s="1">
        <v>2.7688000000000001E-2</v>
      </c>
      <c r="F12" s="1">
        <v>0.99346900000000005</v>
      </c>
    </row>
    <row r="13" spans="2:6" x14ac:dyDescent="0.25">
      <c r="B13" s="5" t="s">
        <v>13</v>
      </c>
      <c r="C13" s="1">
        <v>2.1740000000000002E-3</v>
      </c>
      <c r="D13" s="1">
        <v>0.99949100000000002</v>
      </c>
      <c r="E13" s="1">
        <v>2.7740999999999998E-2</v>
      </c>
      <c r="F13" s="1">
        <v>0.99349100000000001</v>
      </c>
    </row>
    <row r="14" spans="2:6" x14ac:dyDescent="0.25">
      <c r="B14" s="5" t="s">
        <v>14</v>
      </c>
      <c r="C14" s="1">
        <v>2.137E-3</v>
      </c>
      <c r="D14" s="1">
        <v>0.99951299999999998</v>
      </c>
      <c r="E14" s="1">
        <v>2.7432999999999999E-2</v>
      </c>
      <c r="F14" s="1">
        <v>0.99354200000000004</v>
      </c>
    </row>
    <row r="15" spans="2:6" x14ac:dyDescent="0.25">
      <c r="B15" t="s">
        <v>16</v>
      </c>
      <c r="C15" s="4">
        <f>AVERAGE(C5:C14)</f>
        <v>1.6444000000000001E-3</v>
      </c>
      <c r="D15" s="4">
        <f>AVERAGE(D5:D14)</f>
        <v>0.99963920000000006</v>
      </c>
      <c r="E15" s="4">
        <f>AVERAGE(E5:E14)</f>
        <v>2.6562399999999996E-2</v>
      </c>
      <c r="F15" s="4">
        <f>AVERAGE(F5:F14)</f>
        <v>0.99376510000000007</v>
      </c>
    </row>
    <row r="16" spans="2:6" x14ac:dyDescent="0.25">
      <c r="B16" t="s">
        <v>17</v>
      </c>
      <c r="C16" s="4">
        <f>STDEV(C5:C14)</f>
        <v>7.3217092722032231E-4</v>
      </c>
      <c r="D16" s="4">
        <f t="shared" ref="D16:F16" si="0">STDEV(D5:D14)</f>
        <v>2.0567061044300582E-4</v>
      </c>
      <c r="E16" s="4">
        <f t="shared" si="0"/>
        <v>1.3096870024721346E-3</v>
      </c>
      <c r="F16" s="4">
        <f t="shared" si="0"/>
        <v>3.0165265160813476E-4</v>
      </c>
    </row>
    <row r="17" spans="3:6" x14ac:dyDescent="0.25">
      <c r="C17" s="4"/>
      <c r="D17" s="4"/>
      <c r="E17" s="4"/>
      <c r="F17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DF54-33E5-49A2-A2C5-F27F04EDC3F3}">
  <dimension ref="B2:F16"/>
  <sheetViews>
    <sheetView workbookViewId="0">
      <selection activeCell="B2" sqref="B2:F17"/>
    </sheetView>
  </sheetViews>
  <sheetFormatPr defaultRowHeight="15" x14ac:dyDescent="0.25"/>
  <cols>
    <col min="2" max="2" width="14.28515625" customWidth="1"/>
    <col min="3" max="3" width="17" customWidth="1"/>
    <col min="4" max="4" width="17.7109375" customWidth="1"/>
    <col min="5" max="5" width="20.42578125" customWidth="1"/>
  </cols>
  <sheetData>
    <row r="2" spans="2:6" x14ac:dyDescent="0.25">
      <c r="B2" t="s">
        <v>19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s="3" t="s">
        <v>5</v>
      </c>
      <c r="C5" s="1">
        <v>1.4789E-2</v>
      </c>
      <c r="D5" s="1">
        <v>0.996</v>
      </c>
      <c r="E5" s="1">
        <v>3.4860000000000002E-2</v>
      </c>
      <c r="F5" s="1">
        <v>0.99150000000000005</v>
      </c>
    </row>
    <row r="6" spans="2:6" x14ac:dyDescent="0.25">
      <c r="B6" s="3" t="s">
        <v>6</v>
      </c>
      <c r="C6" s="1">
        <v>9.5110000000000004E-3</v>
      </c>
      <c r="D6" s="1">
        <v>0.99738499999999997</v>
      </c>
      <c r="E6" s="1">
        <v>3.2724999999999997E-2</v>
      </c>
      <c r="F6" s="1">
        <v>0.99145799999999995</v>
      </c>
    </row>
    <row r="7" spans="2:6" x14ac:dyDescent="0.25">
      <c r="B7" s="3" t="s">
        <v>7</v>
      </c>
      <c r="C7" s="1">
        <v>9.4450000000000003E-3</v>
      </c>
      <c r="D7" s="1">
        <v>0.99738899999999997</v>
      </c>
      <c r="E7" s="1">
        <v>3.3507000000000002E-2</v>
      </c>
      <c r="F7" s="1">
        <v>0.99152799999999996</v>
      </c>
    </row>
    <row r="8" spans="2:6" x14ac:dyDescent="0.25">
      <c r="B8" s="3" t="s">
        <v>8</v>
      </c>
      <c r="C8" s="1">
        <v>9.3480000000000004E-3</v>
      </c>
      <c r="D8" s="1">
        <v>0.997417</v>
      </c>
      <c r="E8" s="1">
        <v>3.4910999999999998E-2</v>
      </c>
      <c r="F8" s="1">
        <v>0.99141699999999999</v>
      </c>
    </row>
    <row r="9" spans="2:6" x14ac:dyDescent="0.25">
      <c r="B9" s="3" t="s">
        <v>9</v>
      </c>
      <c r="C9" s="1">
        <v>9.2130000000000007E-3</v>
      </c>
      <c r="D9" s="1">
        <v>0.99742900000000001</v>
      </c>
      <c r="E9" s="1">
        <v>3.7768999999999997E-2</v>
      </c>
      <c r="F9" s="1">
        <v>0.99080000000000001</v>
      </c>
    </row>
    <row r="10" spans="2:6" x14ac:dyDescent="0.25">
      <c r="B10" s="3" t="s">
        <v>10</v>
      </c>
      <c r="C10" s="1">
        <v>9.8849999999999997E-3</v>
      </c>
      <c r="D10" s="1">
        <v>0.99720799999999998</v>
      </c>
      <c r="E10" s="1">
        <v>3.9717000000000002E-2</v>
      </c>
      <c r="F10" s="1">
        <v>0.99031899999999995</v>
      </c>
    </row>
    <row r="11" spans="2:6" x14ac:dyDescent="0.25">
      <c r="B11" s="3" t="s">
        <v>11</v>
      </c>
      <c r="C11" s="1">
        <v>1.0326E-2</v>
      </c>
      <c r="D11" s="1">
        <v>0.997054</v>
      </c>
      <c r="E11" s="1">
        <v>3.9407999999999999E-2</v>
      </c>
      <c r="F11" s="1">
        <v>0.99016700000000002</v>
      </c>
    </row>
    <row r="12" spans="2:6" x14ac:dyDescent="0.25">
      <c r="B12" s="3" t="s">
        <v>12</v>
      </c>
      <c r="C12" s="1">
        <v>9.9819999999999996E-3</v>
      </c>
      <c r="D12" s="1">
        <v>0.99716899999999997</v>
      </c>
      <c r="E12" s="1">
        <v>3.8567999999999998E-2</v>
      </c>
      <c r="F12" s="1">
        <v>0.99042699999999995</v>
      </c>
    </row>
    <row r="13" spans="2:6" x14ac:dyDescent="0.25">
      <c r="B13" s="3" t="s">
        <v>13</v>
      </c>
      <c r="C13" s="1">
        <v>1.0148000000000001E-2</v>
      </c>
      <c r="D13" s="1">
        <v>0.99710200000000004</v>
      </c>
      <c r="E13" s="1">
        <v>3.8120000000000001E-2</v>
      </c>
      <c r="F13" s="1">
        <v>0.99055599999999999</v>
      </c>
    </row>
    <row r="14" spans="2:6" x14ac:dyDescent="0.25">
      <c r="B14" s="3" t="s">
        <v>14</v>
      </c>
      <c r="C14" s="1">
        <v>1.0193000000000001E-2</v>
      </c>
      <c r="D14" s="1">
        <v>0.99707500000000004</v>
      </c>
      <c r="E14" s="1">
        <v>3.7871000000000002E-2</v>
      </c>
      <c r="F14" s="1">
        <v>0.99054200000000003</v>
      </c>
    </row>
    <row r="15" spans="2:6" x14ac:dyDescent="0.25">
      <c r="B15" t="s">
        <v>16</v>
      </c>
      <c r="C15" s="4">
        <f>AVERAGE(C5:C14)</f>
        <v>1.0284000000000001E-2</v>
      </c>
      <c r="D15" s="4">
        <f>AVERAGE(D5:D14)</f>
        <v>0.99712279999999998</v>
      </c>
      <c r="E15" s="4">
        <f>AVERAGE(E5:E14)</f>
        <v>3.6745600000000003E-2</v>
      </c>
      <c r="F15" s="4">
        <f>AVERAGE(F5:F14)</f>
        <v>0.99087139999999996</v>
      </c>
    </row>
    <row r="16" spans="2:6" x14ac:dyDescent="0.25">
      <c r="B16" t="s">
        <v>17</v>
      </c>
      <c r="C16" s="4">
        <f>STDEV(C5:C14)</f>
        <v>1.6295383804419375E-3</v>
      </c>
      <c r="D16" s="4">
        <f t="shared" ref="D16:F16" si="0">STDEV(D5:D14)</f>
        <v>4.2130057889560782E-4</v>
      </c>
      <c r="E16" s="4">
        <f t="shared" si="0"/>
        <v>2.5169774730815536E-3</v>
      </c>
      <c r="F16" s="4">
        <f t="shared" si="0"/>
        <v>5.4568370977253083E-4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8DE2-13CB-4DC5-8633-FB9E532C5E08}">
  <dimension ref="B2:F16"/>
  <sheetViews>
    <sheetView workbookViewId="0">
      <selection activeCell="B2" sqref="B2:F16"/>
    </sheetView>
  </sheetViews>
  <sheetFormatPr defaultRowHeight="15" x14ac:dyDescent="0.25"/>
  <cols>
    <col min="2" max="2" width="14.28515625" customWidth="1"/>
    <col min="3" max="3" width="17" customWidth="1"/>
    <col min="4" max="4" width="17.7109375" customWidth="1"/>
    <col min="5" max="5" width="20.42578125" customWidth="1"/>
  </cols>
  <sheetData>
    <row r="2" spans="2:6" x14ac:dyDescent="0.25">
      <c r="B2" t="s">
        <v>20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s="3" t="s">
        <v>5</v>
      </c>
      <c r="C5" s="1">
        <v>1.4899999999999999E-4</v>
      </c>
      <c r="D5" s="1">
        <v>1</v>
      </c>
      <c r="E5" s="1">
        <v>5.5514000000000001E-2</v>
      </c>
      <c r="F5" s="1">
        <v>0.99058299999999999</v>
      </c>
    </row>
    <row r="6" spans="2:6" x14ac:dyDescent="0.25">
      <c r="B6" s="3" t="s">
        <v>6</v>
      </c>
      <c r="C6" s="1">
        <v>1.5300000000000001E-4</v>
      </c>
      <c r="D6" s="1">
        <v>1</v>
      </c>
      <c r="E6" s="1">
        <v>5.3455999999999997E-2</v>
      </c>
      <c r="F6" s="1">
        <v>0.99037500000000001</v>
      </c>
    </row>
    <row r="7" spans="2:6" x14ac:dyDescent="0.25">
      <c r="B7" s="3" t="s">
        <v>7</v>
      </c>
      <c r="C7" s="1">
        <v>1.44E-4</v>
      </c>
      <c r="D7" s="1">
        <v>1</v>
      </c>
      <c r="E7" s="1">
        <v>5.3893999999999997E-2</v>
      </c>
      <c r="F7" s="1">
        <v>0.99030600000000002</v>
      </c>
    </row>
    <row r="8" spans="2:6" x14ac:dyDescent="0.25">
      <c r="B8" s="3" t="s">
        <v>8</v>
      </c>
      <c r="C8" s="1">
        <v>1.4300000000000001E-4</v>
      </c>
      <c r="D8" s="1">
        <v>1</v>
      </c>
      <c r="E8" s="1">
        <v>5.3971999999999999E-2</v>
      </c>
      <c r="F8" s="1">
        <v>0.989958</v>
      </c>
    </row>
    <row r="9" spans="2:6" x14ac:dyDescent="0.25">
      <c r="B9" s="3" t="s">
        <v>9</v>
      </c>
      <c r="C9" s="1">
        <v>1.5200000000000001E-4</v>
      </c>
      <c r="D9" s="1">
        <v>0.999996</v>
      </c>
      <c r="E9" s="1">
        <v>5.3572000000000002E-2</v>
      </c>
      <c r="F9" s="1">
        <v>0.98996700000000004</v>
      </c>
    </row>
    <row r="10" spans="2:6" x14ac:dyDescent="0.25">
      <c r="B10" s="3" t="s">
        <v>10</v>
      </c>
      <c r="C10" s="1">
        <v>1.7100000000000001E-4</v>
      </c>
      <c r="D10" s="1">
        <v>0.99999700000000002</v>
      </c>
      <c r="E10" s="1">
        <v>5.4710000000000002E-2</v>
      </c>
      <c r="F10" s="1">
        <v>0.98973599999999995</v>
      </c>
    </row>
    <row r="11" spans="2:6" x14ac:dyDescent="0.25">
      <c r="B11" s="3" t="s">
        <v>11</v>
      </c>
      <c r="C11" s="1">
        <v>1.7100000000000001E-4</v>
      </c>
      <c r="D11" s="1">
        <v>0.99999700000000002</v>
      </c>
      <c r="E11" s="1">
        <v>5.5237000000000001E-2</v>
      </c>
      <c r="F11" s="1">
        <v>0.98967899999999998</v>
      </c>
    </row>
    <row r="12" spans="2:6" x14ac:dyDescent="0.25">
      <c r="B12" s="3" t="s">
        <v>12</v>
      </c>
      <c r="C12" s="1">
        <v>1.7000000000000001E-4</v>
      </c>
      <c r="D12" s="1">
        <v>0.99999700000000002</v>
      </c>
      <c r="E12" s="1">
        <v>5.5564000000000002E-2</v>
      </c>
      <c r="F12" s="1">
        <v>0.98966699999999996</v>
      </c>
    </row>
    <row r="13" spans="2:6" x14ac:dyDescent="0.25">
      <c r="B13" s="3" t="s">
        <v>13</v>
      </c>
      <c r="C13" s="1">
        <v>1.64E-4</v>
      </c>
      <c r="D13" s="1">
        <v>0.99999800000000005</v>
      </c>
      <c r="E13" s="1">
        <v>5.6047E-2</v>
      </c>
      <c r="F13" s="1">
        <v>0.98969399999999996</v>
      </c>
    </row>
    <row r="14" spans="2:6" x14ac:dyDescent="0.25">
      <c r="B14" s="3" t="s">
        <v>14</v>
      </c>
      <c r="C14" s="1">
        <v>1.6200000000000001E-4</v>
      </c>
      <c r="D14" s="1">
        <v>0.99999800000000005</v>
      </c>
      <c r="E14" s="1">
        <v>5.5684999999999998E-2</v>
      </c>
      <c r="F14" s="1">
        <v>0.98971699999999996</v>
      </c>
    </row>
    <row r="15" spans="2:6" x14ac:dyDescent="0.25">
      <c r="B15" t="s">
        <v>16</v>
      </c>
      <c r="C15" s="4">
        <f>AVERAGE(C5:C14)</f>
        <v>1.5790000000000002E-4</v>
      </c>
      <c r="D15" s="4">
        <f>AVERAGE(D5:D14)</f>
        <v>0.99999830000000001</v>
      </c>
      <c r="E15" s="4">
        <f>AVERAGE(E5:E14)</f>
        <v>5.4765099999999997E-2</v>
      </c>
      <c r="F15" s="4">
        <f>AVERAGE(F5:F14)</f>
        <v>0.98996820000000008</v>
      </c>
    </row>
    <row r="16" spans="2:6" x14ac:dyDescent="0.25">
      <c r="B16" t="s">
        <v>17</v>
      </c>
      <c r="C16" s="4">
        <f>STDEV(C5:C14)</f>
        <v>1.1039826890752311E-5</v>
      </c>
      <c r="D16" s="4">
        <f t="shared" ref="D16:F16" si="0">STDEV(D5:D14)</f>
        <v>1.5670212364639514E-6</v>
      </c>
      <c r="E16" s="4">
        <f t="shared" si="0"/>
        <v>9.6835226028548177E-4</v>
      </c>
      <c r="F16" s="4">
        <f t="shared" si="0"/>
        <v>3.3734940673170634E-4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EB5-BAC5-4C4E-90B3-00FB31DCF361}">
  <dimension ref="B2:F16"/>
  <sheetViews>
    <sheetView workbookViewId="0">
      <selection activeCell="J14" sqref="J14"/>
    </sheetView>
  </sheetViews>
  <sheetFormatPr defaultRowHeight="15" x14ac:dyDescent="0.25"/>
  <cols>
    <col min="2" max="2" width="14.28515625" customWidth="1"/>
    <col min="3" max="3" width="17" customWidth="1"/>
    <col min="4" max="4" width="17.7109375" customWidth="1"/>
    <col min="5" max="5" width="20.42578125" customWidth="1"/>
  </cols>
  <sheetData>
    <row r="2" spans="2:6" x14ac:dyDescent="0.25">
      <c r="B2" t="s">
        <v>21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s="3" t="s">
        <v>5</v>
      </c>
      <c r="C5" s="1">
        <v>0.10087</v>
      </c>
      <c r="D5" s="1">
        <v>0.96896000000000004</v>
      </c>
      <c r="E5" s="1">
        <v>0.11649</v>
      </c>
      <c r="F5" s="1">
        <v>0.96882999999999997</v>
      </c>
    </row>
    <row r="6" spans="2:6" x14ac:dyDescent="0.25">
      <c r="B6" s="3" t="s">
        <v>6</v>
      </c>
      <c r="C6" s="1">
        <v>0.10074</v>
      </c>
      <c r="D6" s="1">
        <v>0.96916999999999998</v>
      </c>
      <c r="E6" s="1">
        <v>0.11722</v>
      </c>
      <c r="F6" s="1">
        <v>0.96862999999999999</v>
      </c>
    </row>
    <row r="7" spans="2:6" x14ac:dyDescent="0.25">
      <c r="B7" s="3" t="s">
        <v>7</v>
      </c>
      <c r="C7" s="1">
        <v>0.10668</v>
      </c>
      <c r="D7" s="1">
        <v>0.96741999999999995</v>
      </c>
      <c r="E7" s="1">
        <v>0.12453</v>
      </c>
      <c r="F7" s="1">
        <v>0.96569000000000005</v>
      </c>
    </row>
    <row r="8" spans="2:6" x14ac:dyDescent="0.25">
      <c r="B8" s="3" t="s">
        <v>8</v>
      </c>
      <c r="C8" s="1">
        <v>0.10838</v>
      </c>
      <c r="D8" s="1">
        <v>0.96702999999999995</v>
      </c>
      <c r="E8" s="1">
        <v>0.12608</v>
      </c>
      <c r="F8" s="1">
        <v>0.96508000000000005</v>
      </c>
    </row>
    <row r="9" spans="2:6" x14ac:dyDescent="0.25">
      <c r="B9" s="3" t="s">
        <v>9</v>
      </c>
      <c r="C9" s="1">
        <v>0.10629</v>
      </c>
      <c r="D9" s="1">
        <v>0.96769000000000005</v>
      </c>
      <c r="E9" s="1">
        <v>0.12479</v>
      </c>
      <c r="F9" s="1">
        <v>0.96565000000000001</v>
      </c>
    </row>
    <row r="10" spans="2:6" x14ac:dyDescent="0.25">
      <c r="B10" s="3" t="s">
        <v>10</v>
      </c>
      <c r="C10" s="1">
        <v>0.10629</v>
      </c>
      <c r="D10" s="1">
        <v>0.96767999999999998</v>
      </c>
      <c r="E10" s="1">
        <v>0.12495000000000001</v>
      </c>
      <c r="F10" s="1">
        <v>0.96550000000000002</v>
      </c>
    </row>
    <row r="11" spans="2:6" x14ac:dyDescent="0.25">
      <c r="B11" s="3" t="s">
        <v>11</v>
      </c>
      <c r="C11" s="1">
        <v>0.10750999999999999</v>
      </c>
      <c r="D11" s="1">
        <v>0.96743999999999997</v>
      </c>
      <c r="E11" s="1">
        <v>0.12586</v>
      </c>
      <c r="F11" s="1">
        <v>0.96514</v>
      </c>
    </row>
    <row r="12" spans="2:6" x14ac:dyDescent="0.25">
      <c r="B12" s="3" t="s">
        <v>12</v>
      </c>
      <c r="C12" s="1">
        <v>0.11136</v>
      </c>
      <c r="D12" s="1">
        <v>0.96633999999999998</v>
      </c>
      <c r="E12" s="1">
        <v>0.12948000000000001</v>
      </c>
      <c r="F12" s="1">
        <v>0.96419999999999995</v>
      </c>
    </row>
    <row r="13" spans="2:6" x14ac:dyDescent="0.25">
      <c r="B13" s="3" t="s">
        <v>13</v>
      </c>
      <c r="C13" s="1">
        <v>0.11106000000000001</v>
      </c>
      <c r="D13" s="1">
        <v>0.96645000000000003</v>
      </c>
      <c r="E13" s="1">
        <v>0.12933</v>
      </c>
      <c r="F13" s="1">
        <v>0.96414999999999995</v>
      </c>
    </row>
    <row r="14" spans="2:6" x14ac:dyDescent="0.25">
      <c r="B14" s="3" t="s">
        <v>14</v>
      </c>
      <c r="C14" s="1">
        <v>0.10994</v>
      </c>
      <c r="D14" s="1">
        <v>0.96675</v>
      </c>
      <c r="E14" s="1">
        <v>0.1283</v>
      </c>
      <c r="F14" s="1">
        <v>0.96447000000000005</v>
      </c>
    </row>
    <row r="15" spans="2:6" x14ac:dyDescent="0.25">
      <c r="B15" t="s">
        <v>16</v>
      </c>
      <c r="C15" s="4">
        <f>AVERAGE(C5:C14)</f>
        <v>0.10691200000000001</v>
      </c>
      <c r="D15" s="4">
        <f>AVERAGE(D5:D14)</f>
        <v>0.96749299999999983</v>
      </c>
      <c r="E15" s="4">
        <f>AVERAGE(E5:E14)</f>
        <v>0.12470300000000001</v>
      </c>
      <c r="F15" s="4">
        <f>AVERAGE(F5:F14)</f>
        <v>0.96573399999999998</v>
      </c>
    </row>
    <row r="16" spans="2:6" x14ac:dyDescent="0.25">
      <c r="B16" t="s">
        <v>17</v>
      </c>
      <c r="C16" s="4">
        <f>STDEV(C5:C14)</f>
        <v>3.7133237582162616E-3</v>
      </c>
      <c r="D16" s="4">
        <f t="shared" ref="D16:F16" si="0">STDEV(D5:D14)</f>
        <v>9.5626646681537899E-4</v>
      </c>
      <c r="E16" s="4">
        <f t="shared" si="0"/>
        <v>4.5209292309337382E-3</v>
      </c>
      <c r="F16" s="4">
        <f t="shared" si="0"/>
        <v>1.6758493700542111E-3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5736-3625-44BD-A157-F1F4421E6C15}">
  <dimension ref="B3:F8"/>
  <sheetViews>
    <sheetView workbookViewId="0">
      <selection activeCell="F4" sqref="F4"/>
    </sheetView>
  </sheetViews>
  <sheetFormatPr defaultRowHeight="15" x14ac:dyDescent="0.25"/>
  <cols>
    <col min="2" max="2" width="20.85546875" customWidth="1"/>
    <col min="3" max="3" width="13.140625" bestFit="1" customWidth="1"/>
    <col min="4" max="4" width="13.28515625" bestFit="1" customWidth="1"/>
    <col min="5" max="5" width="15.28515625" customWidth="1"/>
    <col min="6" max="6" width="14.85546875" bestFit="1" customWidth="1"/>
  </cols>
  <sheetData>
    <row r="3" spans="2:6" x14ac:dyDescent="0.25"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2:6" x14ac:dyDescent="0.25">
      <c r="B4" s="1" t="s">
        <v>27</v>
      </c>
      <c r="C4" s="1">
        <v>0.98680000000000001</v>
      </c>
      <c r="D4" s="1">
        <v>0.98690999999999995</v>
      </c>
      <c r="E4" s="1">
        <v>0.98680000000000001</v>
      </c>
      <c r="F4" s="1">
        <v>0.98682000000000003</v>
      </c>
    </row>
    <row r="5" spans="2:6" x14ac:dyDescent="0.25">
      <c r="B5" s="1" t="s">
        <v>18</v>
      </c>
      <c r="C5" s="1">
        <v>0.99539999999999995</v>
      </c>
      <c r="D5" s="1">
        <v>0.99534999999999996</v>
      </c>
      <c r="E5" s="1">
        <v>0.99534999999999996</v>
      </c>
      <c r="F5" s="1">
        <v>0.99534999999999996</v>
      </c>
    </row>
    <row r="6" spans="2:6" x14ac:dyDescent="0.25">
      <c r="B6" s="1" t="s">
        <v>19</v>
      </c>
      <c r="C6" s="1">
        <v>0.99139999999999995</v>
      </c>
      <c r="D6" s="1">
        <v>0.99129999999999996</v>
      </c>
      <c r="E6" s="1">
        <v>0.99126000000000003</v>
      </c>
      <c r="F6" s="1">
        <v>0.99126000000000003</v>
      </c>
    </row>
    <row r="7" spans="2:6" x14ac:dyDescent="0.25">
      <c r="B7" s="1" t="s">
        <v>20</v>
      </c>
      <c r="C7" s="1">
        <v>0.99239999999999995</v>
      </c>
      <c r="D7" s="1">
        <v>0.99236999999999997</v>
      </c>
      <c r="E7" s="1">
        <v>0.99231999999999998</v>
      </c>
      <c r="F7" s="1">
        <v>0.99234</v>
      </c>
    </row>
    <row r="8" spans="2:6" x14ac:dyDescent="0.25">
      <c r="B8" s="1" t="s">
        <v>21</v>
      </c>
      <c r="C8" s="1">
        <v>0.96899999999999997</v>
      </c>
      <c r="D8" s="1">
        <v>0.96886000000000005</v>
      </c>
      <c r="E8" s="1">
        <v>0.96858999999999995</v>
      </c>
      <c r="F8" s="1">
        <v>0.96869000000000005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D625-7BED-4003-92FF-7A504D813763}">
  <dimension ref="B3:H12"/>
  <sheetViews>
    <sheetView tabSelected="1" workbookViewId="0">
      <selection activeCell="F16" sqref="F16"/>
    </sheetView>
  </sheetViews>
  <sheetFormatPr defaultRowHeight="15" x14ac:dyDescent="0.25"/>
  <cols>
    <col min="2" max="2" width="15" customWidth="1"/>
    <col min="3" max="3" width="21.140625" customWidth="1"/>
    <col min="4" max="4" width="21.7109375" customWidth="1"/>
    <col min="5" max="5" width="23.85546875" customWidth="1"/>
    <col min="6" max="6" width="15.140625" customWidth="1"/>
    <col min="7" max="7" width="17.85546875" customWidth="1"/>
    <col min="8" max="8" width="22.28515625" customWidth="1"/>
  </cols>
  <sheetData>
    <row r="3" spans="2:8" x14ac:dyDescent="0.25">
      <c r="B3" t="s">
        <v>34</v>
      </c>
    </row>
    <row r="5" spans="2:8" x14ac:dyDescent="0.25"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35</v>
      </c>
    </row>
    <row r="6" spans="2:8" x14ac:dyDescent="0.25">
      <c r="B6" s="3" t="s">
        <v>27</v>
      </c>
      <c r="C6" s="7">
        <v>0.93286000000000002</v>
      </c>
      <c r="D6" s="7">
        <v>49.604089999999999</v>
      </c>
      <c r="E6" s="6">
        <v>609354</v>
      </c>
      <c r="F6" s="6">
        <v>11401984</v>
      </c>
      <c r="G6" s="7">
        <v>132.05211</v>
      </c>
      <c r="H6" s="7">
        <v>1.1288937999999999</v>
      </c>
    </row>
    <row r="7" spans="2:8" x14ac:dyDescent="0.25">
      <c r="B7" s="3" t="s">
        <v>18</v>
      </c>
      <c r="C7" s="7">
        <v>6.3491</v>
      </c>
      <c r="D7" s="7">
        <v>95.363370000000003</v>
      </c>
      <c r="E7" s="6">
        <v>23271114</v>
      </c>
      <c r="F7" s="6">
        <v>147910912</v>
      </c>
      <c r="G7" s="7">
        <v>546.07587999999998</v>
      </c>
      <c r="H7" s="7">
        <v>1.6999272000000001</v>
      </c>
    </row>
    <row r="8" spans="2:8" x14ac:dyDescent="0.25">
      <c r="B8" s="3" t="s">
        <v>19</v>
      </c>
      <c r="C8" s="7">
        <v>6.4630000000000001</v>
      </c>
      <c r="D8" s="7">
        <v>87.374949999999998</v>
      </c>
      <c r="E8" s="6">
        <v>21292042</v>
      </c>
      <c r="F8" s="6">
        <v>69921536</v>
      </c>
      <c r="G8" s="7">
        <v>667.21659999999997</v>
      </c>
      <c r="H8" s="7">
        <v>2.1356771999999999</v>
      </c>
    </row>
    <row r="9" spans="2:8" x14ac:dyDescent="0.25">
      <c r="B9" s="3" t="s">
        <v>20</v>
      </c>
      <c r="C9" s="7">
        <v>4.3731999999999998</v>
      </c>
      <c r="D9" s="7">
        <v>75.870549999999994</v>
      </c>
      <c r="E9" s="6">
        <v>5977530</v>
      </c>
      <c r="F9" s="6">
        <v>36235520</v>
      </c>
      <c r="G9" s="7">
        <v>626.06713999999999</v>
      </c>
      <c r="H9" s="7">
        <v>1.8502673000000001</v>
      </c>
    </row>
    <row r="10" spans="2:8" x14ac:dyDescent="0.25">
      <c r="B10" s="3" t="s">
        <v>21</v>
      </c>
      <c r="C10" s="7">
        <v>1.46991</v>
      </c>
      <c r="D10" s="7">
        <v>66.016260000000003</v>
      </c>
      <c r="E10" s="6">
        <v>24618</v>
      </c>
      <c r="F10" s="6">
        <v>8054656</v>
      </c>
      <c r="G10" s="7">
        <v>424.10750999999999</v>
      </c>
      <c r="H10" s="7">
        <v>1.2544276000000001</v>
      </c>
    </row>
    <row r="11" spans="2:8" x14ac:dyDescent="0.25">
      <c r="B11" s="3" t="s">
        <v>36</v>
      </c>
      <c r="C11" s="7">
        <f>AVERAGE(C6:C10)</f>
        <v>3.9176139999999995</v>
      </c>
      <c r="D11" s="7">
        <f t="shared" ref="D11:H11" si="0">AVERAGE(D6:D10)</f>
        <v>74.845844</v>
      </c>
      <c r="E11" s="6">
        <f t="shared" si="0"/>
        <v>10234931.6</v>
      </c>
      <c r="F11" s="6">
        <f t="shared" si="0"/>
        <v>54704921.600000001</v>
      </c>
      <c r="G11" s="7">
        <f t="shared" si="0"/>
        <v>479.10384799999991</v>
      </c>
      <c r="H11" s="7">
        <f t="shared" si="0"/>
        <v>1.6138386199999999</v>
      </c>
    </row>
    <row r="12" spans="2:8" x14ac:dyDescent="0.25">
      <c r="B12" s="3" t="s">
        <v>37</v>
      </c>
      <c r="C12" s="7">
        <f>STDEV(C6:C10)</f>
        <v>2.6219593805358619</v>
      </c>
      <c r="D12" s="7">
        <f t="shared" ref="D12:H12" si="1">STDEV(D6:D10)</f>
        <v>17.986836098352036</v>
      </c>
      <c r="E12" s="6">
        <f t="shared" si="1"/>
        <v>11260877.61113124</v>
      </c>
      <c r="F12" s="6">
        <f t="shared" si="1"/>
        <v>57687547.358691938</v>
      </c>
      <c r="G12" s="7">
        <f t="shared" si="1"/>
        <v>215.02289167256757</v>
      </c>
      <c r="H12" s="7">
        <f t="shared" si="1"/>
        <v>0.41832195365879615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LeNet</vt:lpstr>
      <vt:lpstr>AlexNet</vt:lpstr>
      <vt:lpstr>ResNet</vt:lpstr>
      <vt:lpstr>GoogLeNet</vt:lpstr>
      <vt:lpstr>MobileNet</vt:lpstr>
      <vt:lpstr>Inferencia</vt:lpstr>
      <vt:lpstr>EficienciaCusto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Rique Gil Ferraro</dc:creator>
  <cp:lastModifiedBy>Vivian Rique Gil Ferraro</cp:lastModifiedBy>
  <dcterms:created xsi:type="dcterms:W3CDTF">2025-01-23T14:26:58Z</dcterms:created>
  <dcterms:modified xsi:type="dcterms:W3CDTF">2025-01-28T19:45:20Z</dcterms:modified>
</cp:coreProperties>
</file>